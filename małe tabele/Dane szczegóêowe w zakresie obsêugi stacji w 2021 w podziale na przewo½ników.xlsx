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rbaniak\Documents\"/>
    </mc:Choice>
  </mc:AlternateContent>
  <bookViews>
    <workbookView xWindow="0" yWindow="0" windowWidth="24210" windowHeight="11400"/>
  </bookViews>
  <sheets>
    <sheet name="dane podstawow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5" i="1" s="1"/>
  <c r="N4" i="1"/>
  <c r="N6" i="1" s="1"/>
  <c r="N2" i="1"/>
  <c r="C6" i="1"/>
  <c r="D6" i="1"/>
  <c r="E6" i="1"/>
  <c r="F6" i="1"/>
  <c r="G6" i="1"/>
  <c r="H6" i="1"/>
  <c r="I6" i="1"/>
  <c r="J6" i="1"/>
  <c r="K6" i="1"/>
  <c r="L6" i="1"/>
  <c r="M6" i="1"/>
  <c r="B6" i="1"/>
  <c r="C5" i="1"/>
  <c r="D5" i="1"/>
  <c r="E5" i="1"/>
  <c r="F5" i="1"/>
  <c r="G5" i="1"/>
  <c r="H5" i="1"/>
  <c r="I5" i="1"/>
  <c r="J5" i="1"/>
  <c r="K5" i="1"/>
  <c r="L5" i="1"/>
  <c r="M5" i="1"/>
  <c r="B5" i="1"/>
</calcChain>
</file>

<file path=xl/sharedStrings.xml><?xml version="1.0" encoding="utf-8"?>
<sst xmlns="http://schemas.openxmlformats.org/spreadsheetml/2006/main" count="18" uniqueCount="18">
  <si>
    <t>Liczba zatrzymań pociągów na stacjach wg danych PKP PLK</t>
  </si>
  <si>
    <t>Liczba opóźnionych zatrzymań pociągów powyżej 5 minut 59 sek.</t>
  </si>
  <si>
    <t>średni czas opóźnienia na stacji dla pociągu opóźnionego powyżej 5 min 59 sek. w minutach</t>
  </si>
  <si>
    <t>Czas opóźnień pociągów opóźnionych powyżej 5 min. 59 sek. na stacji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</si>
  <si>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</si>
  <si>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</si>
  <si>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</si>
  <si>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</si>
  <si>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</si>
  <si>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</si>
  <si>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</si>
  <si>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</si>
  <si>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</si>
  <si>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</si>
  <si>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</si>
  <si>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</si>
  <si>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parametr</t>
  </si>
  <si>
    <t xml:space="preserve"> Wskaźnik punktualności na stacjach - Udział liczby zatrzymań pociągów punktualnych (z uwzględnieniem do 5 min 59 sek.) w ogólnej liczbie zatrzymań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</si>
</sst>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0" fontId="0" fillId="0" borderId="0" xfId="1" applyNumberFormat="1" applyFont="1"/>
    <xf numFmtId="0" fontId="0" fillId="0" borderId="0" xfId="1" applyNumberFormat="1" applyFont="1"/>
    <xf numFmtId="0" fontId="0" fillId="0" borderId="0" xfId="0" applyNumberForma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M6" sqref="M6"/>
    </sheetView>
  </sheetViews>
  <sheetFormatPr defaultRowHeight="15" x14ac:dyDescent="0.25"/>
  <cols>
    <col min="1" max="1" width="79.28515625" customWidth="1"/>
    <col min="2" max="13" width="11.7109375" bestFit="1" customWidth="1"/>
    <col min="14" max="14" width="11.5703125" bestFit="1" customWidth="1"/>
  </cols>
  <sheetData>
    <row r="1" spans="1:14" x14ac:dyDescent="0.25">
      <c r="A1" t="s">
        <v>16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>
        <v>2021</v>
      </c>
    </row>
    <row r="2" spans="1:14" x14ac:dyDescent="0.25">
      <c r="A2" s="1" t="s">
        <v>0</v>
      </c>
      <c r="B2">
        <v>2418463</v>
      </c>
      <c r="C2">
        <v>2291573</v>
      </c>
      <c r="D2">
        <v>2558225</v>
      </c>
      <c r="E2">
        <v>2393630</v>
      </c>
      <c r="F2">
        <v>2366760</v>
      </c>
      <c r="G2">
        <v>2424908</v>
      </c>
      <c r="H2">
        <v>2565949</v>
      </c>
      <c r="I2">
        <v>2572982</v>
      </c>
      <c r="J2">
        <v>2455246</v>
      </c>
      <c r="K2">
        <v>2490005</v>
      </c>
      <c r="L2">
        <v>2415077</v>
      </c>
      <c r="M2">
        <v>2610862</v>
      </c>
      <c r="N2">
        <f>SUM(B2:M2)</f>
        <v>29563680</v>
      </c>
    </row>
    <row r="3" spans="1:14" x14ac:dyDescent="0.25">
      <c r="A3" s="1" t="s">
        <v>1</v>
      </c>
      <c r="B3">
        <v>257885</v>
      </c>
      <c r="C3">
        <v>293867</v>
      </c>
      <c r="D3">
        <v>185059</v>
      </c>
      <c r="E3">
        <v>156474</v>
      </c>
      <c r="F3">
        <v>192214</v>
      </c>
      <c r="G3">
        <v>276137</v>
      </c>
      <c r="H3">
        <v>369656</v>
      </c>
      <c r="I3">
        <v>306795</v>
      </c>
      <c r="J3">
        <v>254619</v>
      </c>
      <c r="K3">
        <v>266610</v>
      </c>
      <c r="L3">
        <v>280464</v>
      </c>
      <c r="M3">
        <v>316804</v>
      </c>
      <c r="N3">
        <f t="shared" ref="N3:N4" si="0">SUM(B3:M3)</f>
        <v>3156584</v>
      </c>
    </row>
    <row r="4" spans="1:14" ht="30" x14ac:dyDescent="0.25">
      <c r="A4" s="1" t="s">
        <v>3</v>
      </c>
      <c r="B4" s="3">
        <v>5541793</v>
      </c>
      <c r="C4" s="3">
        <v>5645741</v>
      </c>
      <c r="D4" s="3">
        <v>3020972</v>
      </c>
      <c r="E4" s="3">
        <v>2418420</v>
      </c>
      <c r="F4" s="3">
        <v>3302242</v>
      </c>
      <c r="G4" s="3">
        <v>5023779</v>
      </c>
      <c r="H4" s="3">
        <v>7068012</v>
      </c>
      <c r="I4" s="3">
        <v>5284886</v>
      </c>
      <c r="J4" s="3">
        <v>4254923</v>
      </c>
      <c r="K4" s="3">
        <v>5058288</v>
      </c>
      <c r="L4" s="3">
        <v>4554475</v>
      </c>
      <c r="M4" s="3">
        <v>5512292</v>
      </c>
      <c r="N4" s="4">
        <f t="shared" si="0"/>
        <v>56685823</v>
      </c>
    </row>
    <row r="5" spans="1:14" ht="30" x14ac:dyDescent="0.25">
      <c r="A5" s="1" t="s">
        <v>17</v>
      </c>
      <c r="B5" s="2">
        <f>1-B3/B2</f>
        <v>0.89336822601792953</v>
      </c>
      <c r="C5" s="2">
        <f t="shared" ref="C5:N5" si="1">1-C3/C2</f>
        <v>0.87176188583126091</v>
      </c>
      <c r="D5" s="2">
        <f t="shared" si="1"/>
        <v>0.92766117131995818</v>
      </c>
      <c r="E5" s="2">
        <f t="shared" si="1"/>
        <v>0.93462899445611891</v>
      </c>
      <c r="F5" s="2">
        <f t="shared" si="1"/>
        <v>0.91878601970626517</v>
      </c>
      <c r="G5" s="2">
        <f t="shared" si="1"/>
        <v>0.88612475194935225</v>
      </c>
      <c r="H5" s="2">
        <f t="shared" si="1"/>
        <v>0.85593790055842889</v>
      </c>
      <c r="I5" s="2">
        <f t="shared" si="1"/>
        <v>0.88076286581095398</v>
      </c>
      <c r="J5" s="2">
        <f t="shared" si="1"/>
        <v>0.89629593124273499</v>
      </c>
      <c r="K5" s="2">
        <f t="shared" si="1"/>
        <v>0.89292792584753844</v>
      </c>
      <c r="L5" s="2">
        <f t="shared" si="1"/>
        <v>0.88386954121959671</v>
      </c>
      <c r="M5" s="2">
        <f t="shared" si="1"/>
        <v>0.87865923208503549</v>
      </c>
      <c r="N5" s="2">
        <f t="shared" si="1"/>
        <v>0.89322763607236988</v>
      </c>
    </row>
    <row r="6" spans="1:14" ht="30" x14ac:dyDescent="0.25">
      <c r="A6" s="1" t="s">
        <v>2</v>
      </c>
      <c r="B6">
        <f>B4/B3</f>
        <v>21.489396436396067</v>
      </c>
      <c r="C6">
        <f t="shared" ref="C6:N6" si="2">C4/C3</f>
        <v>19.211891774169949</v>
      </c>
      <c r="D6">
        <f t="shared" si="2"/>
        <v>16.324372227235639</v>
      </c>
      <c r="E6">
        <f t="shared" si="2"/>
        <v>15.455730664519345</v>
      </c>
      <c r="F6">
        <f t="shared" si="2"/>
        <v>17.180028509890018</v>
      </c>
      <c r="G6">
        <f t="shared" si="2"/>
        <v>18.193067209392439</v>
      </c>
      <c r="H6">
        <f t="shared" si="2"/>
        <v>19.120512043629752</v>
      </c>
      <c r="I6">
        <f t="shared" si="2"/>
        <v>17.226115158330483</v>
      </c>
      <c r="J6">
        <f t="shared" si="2"/>
        <v>16.710940660359203</v>
      </c>
      <c r="K6">
        <f t="shared" si="2"/>
        <v>18.972611679981995</v>
      </c>
      <c r="L6">
        <f t="shared" si="2"/>
        <v>16.239071681213989</v>
      </c>
      <c r="M6">
        <f t="shared" si="2"/>
        <v>17.399691923081779</v>
      </c>
      <c r="N6">
        <f t="shared" si="2"/>
        <v>17.957964369077459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 podstawowe</vt:lpstr>
    </vt:vector>
  </TitlesOfParts>
  <Company>UTK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Urbaniak</dc:creator>
  <cp:lastModifiedBy>Adam Urbaniak</cp:lastModifiedBy>
  <dcterms:created xsi:type="dcterms:W3CDTF">2022-01-25T14:06:16Z</dcterms:created>
  <dcterms:modified xsi:type="dcterms:W3CDTF">2022-01-25T14:37:16Z</dcterms:modified>
</cp:coreProperties>
</file>